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xianwiesi\导电\"/>
    </mc:Choice>
  </mc:AlternateContent>
  <xr:revisionPtr revIDLastSave="0" documentId="13_ncr:1_{07865C4A-8C72-4B6A-8FA3-54F3B9EC52D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Data" sheetId="1" r:id="rId1"/>
    <sheet name="Fit_Results" sheetId="2" r:id="rId2"/>
    <sheet name="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</calcChain>
</file>

<file path=xl/sharedStrings.xml><?xml version="1.0" encoding="utf-8"?>
<sst xmlns="http://schemas.openxmlformats.org/spreadsheetml/2006/main" count="27" uniqueCount="27">
  <si>
    <t>Frequency (Hz)</t>
  </si>
  <si>
    <t>V3_Real (V)</t>
  </si>
  <si>
    <t>V3_Imag (V)</t>
  </si>
  <si>
    <t>V3_Magnitude (V)</t>
  </si>
  <si>
    <t>V3_Phase (deg)</t>
  </si>
  <si>
    <t>V3_Fitted_Real (V)</t>
  </si>
  <si>
    <t>V3_Fitted_Imag (V)</t>
  </si>
  <si>
    <t>V3_Fitted_Magnitude (V)</t>
  </si>
  <si>
    <t>V3_Fitted_Phase (deg)</t>
  </si>
  <si>
    <t>Fit_Mode</t>
  </si>
  <si>
    <t>Kappa (W/m·K)</t>
  </si>
  <si>
    <t>C_p (J/kg·K)</t>
  </si>
  <si>
    <t>Alpha (m²/s)</t>
  </si>
  <si>
    <t>Gamma (s)</t>
  </si>
  <si>
    <t>RMSE</t>
  </si>
  <si>
    <t>amplitude</t>
  </si>
  <si>
    <t>phase</t>
  </si>
  <si>
    <t>both</t>
  </si>
  <si>
    <t>Parameter</t>
  </si>
  <si>
    <t>Value</t>
  </si>
  <si>
    <t>Material</t>
  </si>
  <si>
    <t>platinum</t>
  </si>
  <si>
    <t>Fiber_Config</t>
  </si>
  <si>
    <t>platinum_wire_20um</t>
  </si>
  <si>
    <t>Noise_Level</t>
  </si>
  <si>
    <t>Test_Name</t>
  </si>
  <si>
    <t>铂丝测试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</si>
</sst>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V3_Magnitude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Data!$A$2:$A$31</c:f>
              <c:numCache>
                <c:formatCode>General</c:formatCode>
                <c:ptCount val="30"/>
                <c:pt idx="0">
                  <c:v>1</c:v>
                </c:pt>
                <c:pt idx="1">
                  <c:v>1.2689610031679219</c:v>
                </c:pt>
                <c:pt idx="2">
                  <c:v>1.6102620275609389</c:v>
                </c:pt>
                <c:pt idx="3">
                  <c:v>2.043359717856942</c:v>
                </c:pt>
                <c:pt idx="4">
                  <c:v>2.5929437974046672</c:v>
                </c:pt>
                <c:pt idx="5">
                  <c:v>3.290344562312669</c:v>
                </c:pt>
                <c:pt idx="6">
                  <c:v>4.1753189365604024</c:v>
                </c:pt>
                <c:pt idx="7">
                  <c:v>5.2983169062837083</c:v>
                </c:pt>
                <c:pt idx="8">
                  <c:v>6.7233575364993374</c:v>
                </c:pt>
                <c:pt idx="9">
                  <c:v>8.5316785241728077</c:v>
                </c:pt>
                <c:pt idx="10">
                  <c:v>10.82636733874055</c:v>
                </c:pt>
                <c:pt idx="11">
                  <c:v>13.738237958832631</c:v>
                </c:pt>
                <c:pt idx="12">
                  <c:v>17.433288221999881</c:v>
                </c:pt>
                <c:pt idx="13">
                  <c:v>22.122162910704489</c:v>
                </c:pt>
                <c:pt idx="14">
                  <c:v>28.072162039411769</c:v>
                </c:pt>
                <c:pt idx="15">
                  <c:v>35.622478902624422</c:v>
                </c:pt>
                <c:pt idx="16">
                  <c:v>45.203536563602427</c:v>
                </c:pt>
                <c:pt idx="17">
                  <c:v>57.361525104486788</c:v>
                </c:pt>
                <c:pt idx="18">
                  <c:v>72.789538439831503</c:v>
                </c:pt>
                <c:pt idx="19">
                  <c:v>92.367085718738608</c:v>
                </c:pt>
                <c:pt idx="20">
                  <c:v>117.2102297533481</c:v>
                </c:pt>
                <c:pt idx="21">
                  <c:v>148.73521072935119</c:v>
                </c:pt>
                <c:pt idx="22">
                  <c:v>188.73918221350979</c:v>
                </c:pt>
                <c:pt idx="23">
                  <c:v>239.50266199874861</c:v>
                </c:pt>
                <c:pt idx="24">
                  <c:v>303.91953823131979</c:v>
                </c:pt>
                <c:pt idx="25">
                  <c:v>385.66204211634721</c:v>
                </c:pt>
                <c:pt idx="26">
                  <c:v>489.39009184774937</c:v>
                </c:pt>
                <c:pt idx="27">
                  <c:v>621.0169418915616</c:v>
                </c:pt>
                <c:pt idx="28">
                  <c:v>788.04628156699118</c:v>
                </c:pt>
                <c:pt idx="29">
                  <c:v>1000</c:v>
                </c:pt>
              </c:numCache>
            </c:numRef>
          </c:xVal>
          <c:yVal>
            <c:numRef>
              <c:f>Data!$D$2:$D$31</c:f>
              <c:numCache>
                <c:formatCode>General</c:formatCode>
                <c:ptCount val="30"/>
                <c:pt idx="0">
                  <c:v>2.1444222809506461E-4</c:v>
                </c:pt>
                <c:pt idx="1">
                  <c:v>1.7350716033429341E-4</c:v>
                </c:pt>
                <c:pt idx="2">
                  <c:v>1.370908795472838E-4</c:v>
                </c:pt>
                <c:pt idx="3">
                  <c:v>1.079586502513956E-4</c:v>
                </c:pt>
                <c:pt idx="4">
                  <c:v>8.6718061039424565E-5</c:v>
                </c:pt>
                <c:pt idx="5">
                  <c:v>6.72283806004891E-5</c:v>
                </c:pt>
                <c:pt idx="6">
                  <c:v>5.3794902933407852E-5</c:v>
                </c:pt>
                <c:pt idx="7">
                  <c:v>4.0991753700196039E-5</c:v>
                </c:pt>
                <c:pt idx="8">
                  <c:v>3.2513148402133883E-5</c:v>
                </c:pt>
                <c:pt idx="9">
                  <c:v>2.6469776967211841E-5</c:v>
                </c:pt>
                <c:pt idx="10">
                  <c:v>2.1288882286487779E-5</c:v>
                </c:pt>
                <c:pt idx="11">
                  <c:v>1.649589357646318E-5</c:v>
                </c:pt>
                <c:pt idx="12">
                  <c:v>1.2816868551635199E-5</c:v>
                </c:pt>
                <c:pt idx="13">
                  <c:v>1.0063474569652169E-5</c:v>
                </c:pt>
                <c:pt idx="14">
                  <c:v>7.1023314902655417E-6</c:v>
                </c:pt>
                <c:pt idx="15">
                  <c:v>5.8308219176757984E-6</c:v>
                </c:pt>
                <c:pt idx="16">
                  <c:v>4.7135615637015217E-6</c:v>
                </c:pt>
                <c:pt idx="17">
                  <c:v>4.6581297722762576E-6</c:v>
                </c:pt>
                <c:pt idx="18">
                  <c:v>3.389618779199108E-6</c:v>
                </c:pt>
                <c:pt idx="19">
                  <c:v>1.5635182882551909E-6</c:v>
                </c:pt>
                <c:pt idx="20">
                  <c:v>2.3702800916758492E-6</c:v>
                </c:pt>
                <c:pt idx="21">
                  <c:v>1.255229201360172E-6</c:v>
                </c:pt>
                <c:pt idx="22">
                  <c:v>7.2350075853996184E-7</c:v>
                </c:pt>
                <c:pt idx="23">
                  <c:v>1.684509331850996E-6</c:v>
                </c:pt>
                <c:pt idx="24">
                  <c:v>1.5035023269124301E-6</c:v>
                </c:pt>
                <c:pt idx="25">
                  <c:v>1.2314840244010729E-6</c:v>
                </c:pt>
                <c:pt idx="26">
                  <c:v>8.0796498532797674E-7</c:v>
                </c:pt>
                <c:pt idx="27">
                  <c:v>2.9937039251292028E-7</c:v>
                </c:pt>
                <c:pt idx="28">
                  <c:v>6.6260455937580791E-7</c:v>
                </c:pt>
                <c:pt idx="29">
                  <c:v>9.2398506173432101E-7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CB-48EB-B77C-4406ED4AA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694256"/>
        <c:axId val="702692816"/>
      </c:scatterChart>
      <c:valAx>
        <c:axId val="7026942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2692816"/>
        <c:crosses val="autoZero"/>
        <c:crossBetween val="midCat"/>
      </c:valAx>
      <c:valAx>
        <c:axId val="70269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269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Data!$L$2:$L$31</c:f>
              <c:numCache>
                <c:formatCode>General</c:formatCode>
                <c:ptCount val="30"/>
                <c:pt idx="0">
                  <c:v>1.0794200167495003</c:v>
                </c:pt>
                <c:pt idx="1">
                  <c:v>1.0655072412865485</c:v>
                </c:pt>
                <c:pt idx="2">
                  <c:v>1.053264888562653</c:v>
                </c:pt>
                <c:pt idx="3">
                  <c:v>1.042074066797877</c:v>
                </c:pt>
                <c:pt idx="4">
                  <c:v>1.0365183446275033</c:v>
                </c:pt>
                <c:pt idx="5">
                  <c:v>1.0306526457894833</c:v>
                </c:pt>
                <c:pt idx="6">
                  <c:v>1.0188453023573292</c:v>
                </c:pt>
                <c:pt idx="7">
                  <c:v>1.0171634495380688</c:v>
                </c:pt>
                <c:pt idx="8">
                  <c:v>1.0199302295234216</c:v>
                </c:pt>
                <c:pt idx="9">
                  <c:v>1.0100793278776623</c:v>
                </c:pt>
                <c:pt idx="10">
                  <c:v>1.0160067380189639</c:v>
                </c:pt>
                <c:pt idx="11">
                  <c:v>1.0157243755194676</c:v>
                </c:pt>
                <c:pt idx="12">
                  <c:v>1.0052326391366868</c:v>
                </c:pt>
                <c:pt idx="13">
                  <c:v>1.0434735729661002</c:v>
                </c:pt>
                <c:pt idx="14">
                  <c:v>1.0522954604612866</c:v>
                </c:pt>
                <c:pt idx="15">
                  <c:v>1.0251573011413633</c:v>
                </c:pt>
                <c:pt idx="16">
                  <c:v>1.0461000732094288</c:v>
                </c:pt>
                <c:pt idx="17">
                  <c:v>0.99145224385816533</c:v>
                </c:pt>
                <c:pt idx="18">
                  <c:v>1.0544948485251475</c:v>
                </c:pt>
                <c:pt idx="19">
                  <c:v>1.1533227220265254</c:v>
                </c:pt>
                <c:pt idx="20">
                  <c:v>0.84630773070334908</c:v>
                </c:pt>
                <c:pt idx="21">
                  <c:v>1.0386591659527651</c:v>
                </c:pt>
                <c:pt idx="22">
                  <c:v>0.98546191098403291</c:v>
                </c:pt>
                <c:pt idx="23">
                  <c:v>1.1439275919221985</c:v>
                </c:pt>
                <c:pt idx="24">
                  <c:v>1.0695705315308519</c:v>
                </c:pt>
                <c:pt idx="25">
                  <c:v>0.9854477676008021</c:v>
                </c:pt>
                <c:pt idx="26">
                  <c:v>-1.2479789668386603</c:v>
                </c:pt>
                <c:pt idx="27">
                  <c:v>0.47629448212078218</c:v>
                </c:pt>
                <c:pt idx="28">
                  <c:v>1.1527273365454953</c:v>
                </c:pt>
                <c:pt idx="29">
                  <c:v>1.0617157517475364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26-45F7-88CD-98D05709B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649616"/>
        <c:axId val="702652016"/>
      </c:scatterChart>
      <c:valAx>
        <c:axId val="70264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2652016"/>
        <c:crosses val="autoZero"/>
        <c:crossBetween val="midCat"/>
      </c:valAx>
      <c:valAx>
        <c:axId val="7026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264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404811</xdr:colOff>
      <xdr:row>16</xdr:row>
      <xdr:rowOff>52387</xdr:rowOff>
    </xdr:from>
    <xdr:to>
      <xdr:col>24</xdr:col>
      <xdr:colOff>123824</xdr:colOff>
      <xdr:row>36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EC9DAA5-F398-DB82-D357-95D6D6C89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438150</xdr:colOff>
      <xdr:row>12</xdr:row>
      <xdr:rowOff>80962</xdr:rowOff>
    </xdr:from>
    <xdr:to>
      <xdr:col>13</xdr:col>
      <xdr:colOff>209550</xdr:colOff>
      <xdr:row>28</xdr:row>
      <xdr:rowOff>80962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A98FC34-8C99-E05C-05A2-2FE67D390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P7" sqref="P7"/>
    </sheetView>
  </sheetViews>
  <sheetFormatPr defaultRowHeight="13.5" x14ac:dyDescent="0.15"/>
  <cols>
    <col min="1" max="1" width="18.25" bestFit="1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15">
      <c r="A2">
        <v>1</v>
      </c>
      <c r="B2">
        <v>-6.2923836709175612E-5</v>
      </c>
      <c r="C2">
        <v>2.0500258526216859E-4</v>
      </c>
      <c r="D2">
        <v>2.1444222809506461E-4</v>
      </c>
      <c r="E2">
        <v>107.0634321683283</v>
      </c>
      <c r="F2">
        <v>-6.2754817345865864E-5</v>
      </c>
      <c r="G2">
        <v>2.054850354635899E-4</v>
      </c>
      <c r="H2">
        <v>2.1485405953713271E-4</v>
      </c>
      <c r="I2">
        <v>106.9825916317983</v>
      </c>
      <c r="L2">
        <f>ATAN(E2/180*PI())</f>
        <v>1.0794200167495003</v>
      </c>
    </row>
    <row r="3" spans="1:12" x14ac:dyDescent="0.15">
      <c r="A3">
        <v>1.2689610031679219</v>
      </c>
      <c r="B3">
        <v>-4.072057047300647E-5</v>
      </c>
      <c r="C3">
        <v>1.6866110941062581E-4</v>
      </c>
      <c r="D3">
        <v>1.7350716033429341E-4</v>
      </c>
      <c r="E3">
        <v>103.5734094997068</v>
      </c>
      <c r="F3">
        <v>-4.0273923991069257E-5</v>
      </c>
      <c r="G3">
        <v>1.673421528139376E-4</v>
      </c>
      <c r="H3">
        <v>1.7212026336849959E-4</v>
      </c>
      <c r="I3">
        <v>103.5319242454599</v>
      </c>
      <c r="L3">
        <f t="shared" ref="L3:L31" si="0">ATAN(E3/180*PI())</f>
        <v>1.0655072412865485</v>
      </c>
    </row>
    <row r="4" spans="1:12" x14ac:dyDescent="0.15">
      <c r="A4">
        <v>1.6102620275609389</v>
      </c>
      <c r="B4">
        <v>-2.5322745031506421E-5</v>
      </c>
      <c r="C4">
        <v>1.34731836768884E-4</v>
      </c>
      <c r="D4">
        <v>1.370908795472838E-4</v>
      </c>
      <c r="E4">
        <v>100.6445181027063</v>
      </c>
      <c r="F4">
        <v>-2.5540741917046719E-5</v>
      </c>
      <c r="G4">
        <v>1.3466762166398059E-4</v>
      </c>
      <c r="H4">
        <v>1.3706822324049511E-4</v>
      </c>
      <c r="I4">
        <v>100.73903300255159</v>
      </c>
      <c r="L4">
        <f t="shared" si="0"/>
        <v>1.053264888562653</v>
      </c>
    </row>
    <row r="5" spans="1:12" x14ac:dyDescent="0.15">
      <c r="A5">
        <v>2.043359717856942</v>
      </c>
      <c r="B5">
        <v>-1.516543556619742E-5</v>
      </c>
      <c r="C5">
        <v>1.0688816458425451E-4</v>
      </c>
      <c r="D5">
        <v>1.079586502513956E-4</v>
      </c>
      <c r="E5">
        <v>98.075303447875328</v>
      </c>
      <c r="F5">
        <v>-1.6072729795643901E-5</v>
      </c>
      <c r="G5">
        <v>1.075393980270971E-4</v>
      </c>
      <c r="H5">
        <v>1.087338713148492E-4</v>
      </c>
      <c r="I5">
        <v>98.500447705708083</v>
      </c>
      <c r="L5">
        <f t="shared" si="0"/>
        <v>1.042074066797877</v>
      </c>
    </row>
    <row r="6" spans="1:12" x14ac:dyDescent="0.15">
      <c r="A6">
        <v>2.5929437974046672</v>
      </c>
      <c r="B6">
        <v>-1.0321963836259629E-5</v>
      </c>
      <c r="C6">
        <v>8.6101563127508391E-5</v>
      </c>
      <c r="D6">
        <v>8.6718061039424565E-5</v>
      </c>
      <c r="E6">
        <v>96.836066568550351</v>
      </c>
      <c r="F6">
        <v>-1.0064781388080951E-5</v>
      </c>
      <c r="G6">
        <v>8.5453642512503308E-5</v>
      </c>
      <c r="H6">
        <v>8.6044319063169851E-5</v>
      </c>
      <c r="I6">
        <v>96.717383647979446</v>
      </c>
      <c r="L6">
        <f t="shared" si="0"/>
        <v>1.0365183446275033</v>
      </c>
    </row>
    <row r="7" spans="1:12" x14ac:dyDescent="0.15">
      <c r="A7">
        <v>3.290344562312669</v>
      </c>
      <c r="B7">
        <v>-6.5050968928498374E-6</v>
      </c>
      <c r="C7">
        <v>6.6912920072126979E-5</v>
      </c>
      <c r="D7">
        <v>6.72283806004891E-5</v>
      </c>
      <c r="E7">
        <v>95.552694593134163</v>
      </c>
      <c r="F7">
        <v>-6.2829796577570433E-6</v>
      </c>
      <c r="G7">
        <v>6.7692439073696714E-5</v>
      </c>
      <c r="H7">
        <v>6.7983396069378076E-5</v>
      </c>
      <c r="I7">
        <v>95.302804521588314</v>
      </c>
      <c r="L7">
        <f t="shared" si="0"/>
        <v>1.0306526457894833</v>
      </c>
    </row>
    <row r="8" spans="1:12" x14ac:dyDescent="0.15">
      <c r="A8">
        <v>4.1753189365604024</v>
      </c>
      <c r="B8">
        <v>-2.8565860871425581E-6</v>
      </c>
      <c r="C8">
        <v>5.3719004993963893E-5</v>
      </c>
      <c r="D8">
        <v>5.3794902933407852E-5</v>
      </c>
      <c r="E8">
        <v>93.043919293337936</v>
      </c>
      <c r="F8">
        <v>-3.9145081544759217E-6</v>
      </c>
      <c r="G8">
        <v>5.351801378680446E-5</v>
      </c>
      <c r="H8">
        <v>5.3660983719794497E-5</v>
      </c>
      <c r="I8">
        <v>94.183378346197216</v>
      </c>
      <c r="L8">
        <f t="shared" si="0"/>
        <v>1.0188453023573292</v>
      </c>
    </row>
    <row r="9" spans="1:12" x14ac:dyDescent="0.15">
      <c r="A9">
        <v>5.2983169062837083</v>
      </c>
      <c r="B9">
        <v>-1.926966181871682E-6</v>
      </c>
      <c r="C9">
        <v>4.0946436630694231E-5</v>
      </c>
      <c r="D9">
        <v>4.0991753700196039E-5</v>
      </c>
      <c r="E9">
        <v>92.694389069067739</v>
      </c>
      <c r="F9">
        <v>-2.435888516407398E-6</v>
      </c>
      <c r="G9">
        <v>4.2259900372229447E-5</v>
      </c>
      <c r="H9">
        <v>4.2330045267340843E-5</v>
      </c>
      <c r="I9">
        <v>93.298916243576244</v>
      </c>
      <c r="L9">
        <f t="shared" si="0"/>
        <v>1.0171634495380688</v>
      </c>
    </row>
    <row r="10" spans="1:12" x14ac:dyDescent="0.15">
      <c r="A10">
        <v>6.7233575364993374</v>
      </c>
      <c r="B10">
        <v>-1.8548232930125739E-6</v>
      </c>
      <c r="C10">
        <v>3.2460197928707682E-5</v>
      </c>
      <c r="D10">
        <v>3.2513148402133883E-5</v>
      </c>
      <c r="E10">
        <v>93.270408470204615</v>
      </c>
      <c r="F10">
        <v>-1.514628867678563E-6</v>
      </c>
      <c r="G10">
        <v>3.3344604191988681E-5</v>
      </c>
      <c r="H10">
        <v>3.3378986343614367E-5</v>
      </c>
      <c r="I10">
        <v>92.600787504163435</v>
      </c>
      <c r="L10">
        <f t="shared" si="0"/>
        <v>1.0199302295234216</v>
      </c>
    </row>
    <row r="11" spans="1:12" x14ac:dyDescent="0.15">
      <c r="A11">
        <v>8.5316785241728077</v>
      </c>
      <c r="B11">
        <v>-5.7408885039796502E-7</v>
      </c>
      <c r="C11">
        <v>2.646355068175447E-5</v>
      </c>
      <c r="D11">
        <v>2.6469776967211841E-5</v>
      </c>
      <c r="E11">
        <v>91.242754992746256</v>
      </c>
      <c r="F11">
        <v>-9.4134476002620555E-7</v>
      </c>
      <c r="G11">
        <v>2.6297612521941739E-5</v>
      </c>
      <c r="H11">
        <v>2.6314455234935339E-5</v>
      </c>
      <c r="I11">
        <v>92.050074433649357</v>
      </c>
      <c r="L11">
        <f t="shared" si="0"/>
        <v>1.0100793278776623</v>
      </c>
    </row>
    <row r="12" spans="1:12" x14ac:dyDescent="0.15">
      <c r="A12">
        <v>10.82636733874055</v>
      </c>
      <c r="B12">
        <v>-9.1193979495695246E-7</v>
      </c>
      <c r="C12">
        <v>2.126934119380069E-5</v>
      </c>
      <c r="D12">
        <v>2.1288882286487779E-5</v>
      </c>
      <c r="E12">
        <v>92.455098086547238</v>
      </c>
      <c r="F12">
        <v>-5.8487469968540691E-7</v>
      </c>
      <c r="G12">
        <v>2.0733791343063672E-5</v>
      </c>
      <c r="H12">
        <v>2.074203899986774E-5</v>
      </c>
      <c r="I12">
        <v>91.615814828168936</v>
      </c>
      <c r="L12">
        <f t="shared" si="0"/>
        <v>1.0160067380189639</v>
      </c>
    </row>
    <row r="13" spans="1:12" x14ac:dyDescent="0.15">
      <c r="A13">
        <v>13.738237958832631</v>
      </c>
      <c r="B13">
        <v>-6.8986182963767031E-7</v>
      </c>
      <c r="C13">
        <v>1.6481462178520699E-5</v>
      </c>
      <c r="D13">
        <v>1.649589357646318E-5</v>
      </c>
      <c r="E13">
        <v>92.39682085725974</v>
      </c>
      <c r="F13">
        <v>-3.633265786371658E-7</v>
      </c>
      <c r="G13">
        <v>1.634411214428707E-5</v>
      </c>
      <c r="H13">
        <v>1.6348149986704199E-5</v>
      </c>
      <c r="I13">
        <v>91.273464801994436</v>
      </c>
      <c r="L13">
        <f t="shared" si="0"/>
        <v>1.0157243755194676</v>
      </c>
    </row>
    <row r="14" spans="1:12" x14ac:dyDescent="0.15">
      <c r="A14">
        <v>17.433288221999881</v>
      </c>
      <c r="B14">
        <v>-6.002555019630602E-8</v>
      </c>
      <c r="C14">
        <v>1.28167279913096E-5</v>
      </c>
      <c r="D14">
        <v>1.2816868551635199E-5</v>
      </c>
      <c r="E14">
        <v>90.268335689626781</v>
      </c>
      <c r="F14">
        <v>-2.2567420416941941E-7</v>
      </c>
      <c r="G14">
        <v>1.288232821198266E-5</v>
      </c>
      <c r="H14">
        <v>1.288430475453262E-5</v>
      </c>
      <c r="I14">
        <v>91.003611830375036</v>
      </c>
      <c r="L14">
        <f t="shared" si="0"/>
        <v>1.0052326391366868</v>
      </c>
    </row>
    <row r="15" spans="1:12" x14ac:dyDescent="0.15">
      <c r="A15">
        <v>22.122162910704489</v>
      </c>
      <c r="B15">
        <v>-1.4685727360027289E-6</v>
      </c>
      <c r="C15">
        <v>9.9557427916306416E-6</v>
      </c>
      <c r="D15">
        <v>1.0063474569652169E-5</v>
      </c>
      <c r="E15">
        <v>98.391194060667885</v>
      </c>
      <c r="F15">
        <v>-1.401638007565184E-7</v>
      </c>
      <c r="G15">
        <v>1.015305132430681E-5</v>
      </c>
      <c r="H15">
        <v>1.015401876525008E-5</v>
      </c>
      <c r="I15">
        <v>90.790923226391556</v>
      </c>
      <c r="L15">
        <f t="shared" si="0"/>
        <v>1.0434735729661002</v>
      </c>
    </row>
    <row r="16" spans="1:12" x14ac:dyDescent="0.15">
      <c r="A16">
        <v>28.072162039411769</v>
      </c>
      <c r="B16">
        <v>-1.28429824532495E-6</v>
      </c>
      <c r="C16">
        <v>6.9852480710904471E-6</v>
      </c>
      <c r="D16">
        <v>7.1023314902655417E-6</v>
      </c>
      <c r="E16">
        <v>100.41797450573119</v>
      </c>
      <c r="F16">
        <v>-8.7050381082006455E-8</v>
      </c>
      <c r="G16">
        <v>8.0016521662741197E-6</v>
      </c>
      <c r="H16">
        <v>8.0021256650271265E-6</v>
      </c>
      <c r="I16">
        <v>90.623299111673361</v>
      </c>
      <c r="L16">
        <f t="shared" si="0"/>
        <v>1.0522954604612866</v>
      </c>
    </row>
    <row r="17" spans="1:12" x14ac:dyDescent="0.15">
      <c r="A17">
        <v>35.622478902624422</v>
      </c>
      <c r="B17">
        <v>-4.4458813262156759E-7</v>
      </c>
      <c r="C17">
        <v>5.8138477472307917E-6</v>
      </c>
      <c r="D17">
        <v>5.8308219176757984E-6</v>
      </c>
      <c r="E17">
        <v>94.372929077092209</v>
      </c>
      <c r="F17">
        <v>-5.4062186071910183E-8</v>
      </c>
      <c r="G17">
        <v>6.3059550502729933E-6</v>
      </c>
      <c r="H17">
        <v>6.3061867888626918E-6</v>
      </c>
      <c r="I17">
        <v>90.491195890637002</v>
      </c>
      <c r="L17">
        <f t="shared" si="0"/>
        <v>1.0251573011413633</v>
      </c>
    </row>
    <row r="18" spans="1:12" x14ac:dyDescent="0.15">
      <c r="A18">
        <v>45.203536563602427</v>
      </c>
      <c r="B18">
        <v>-7.3640099697348974E-7</v>
      </c>
      <c r="C18">
        <v>4.6556821397579088E-6</v>
      </c>
      <c r="D18">
        <v>4.7135615637015217E-6</v>
      </c>
      <c r="E18">
        <v>98.988154858877451</v>
      </c>
      <c r="F18">
        <v>-3.3574468618957339E-8</v>
      </c>
      <c r="G18">
        <v>4.9695228456500971E-6</v>
      </c>
      <c r="H18">
        <v>4.969636260168472E-6</v>
      </c>
      <c r="I18">
        <v>90.387088689071092</v>
      </c>
      <c r="L18">
        <f t="shared" si="0"/>
        <v>1.0461000732094288</v>
      </c>
    </row>
    <row r="19" spans="1:12" x14ac:dyDescent="0.15">
      <c r="A19">
        <v>57.361525104486788</v>
      </c>
      <c r="B19">
        <v>1.969109072743376E-7</v>
      </c>
      <c r="C19">
        <v>4.6539659506664686E-6</v>
      </c>
      <c r="D19">
        <v>4.6581297722762576E-6</v>
      </c>
      <c r="E19">
        <v>87.57724079732229</v>
      </c>
      <c r="F19">
        <v>-2.085067449652738E-8</v>
      </c>
      <c r="G19">
        <v>3.9162817424253928E-6</v>
      </c>
      <c r="H19">
        <v>3.9163372475670981E-6</v>
      </c>
      <c r="I19">
        <v>90.305045560942247</v>
      </c>
      <c r="L19">
        <f t="shared" si="0"/>
        <v>0.99145224385816533</v>
      </c>
    </row>
    <row r="20" spans="1:12" x14ac:dyDescent="0.15">
      <c r="A20">
        <v>72.789538439831503</v>
      </c>
      <c r="B20">
        <v>-6.4288177079266959E-7</v>
      </c>
      <c r="C20">
        <v>3.3280953257203641E-6</v>
      </c>
      <c r="D20">
        <v>3.389618779199108E-6</v>
      </c>
      <c r="E20">
        <v>100.9330577412974</v>
      </c>
      <c r="F20">
        <v>-1.294876121251009E-8</v>
      </c>
      <c r="G20">
        <v>3.086244418246621E-6</v>
      </c>
      <c r="H20">
        <v>3.0862715822777752E-6</v>
      </c>
      <c r="I20">
        <v>90.240390880803517</v>
      </c>
      <c r="L20">
        <f t="shared" si="0"/>
        <v>1.0544948485251475</v>
      </c>
    </row>
    <row r="21" spans="1:12" x14ac:dyDescent="0.15">
      <c r="A21">
        <v>92.367085718738608</v>
      </c>
      <c r="B21">
        <v>-9.8769685368772659E-7</v>
      </c>
      <c r="C21">
        <v>1.2120414031392691E-6</v>
      </c>
      <c r="D21">
        <v>1.5635182882551909E-6</v>
      </c>
      <c r="E21">
        <v>129.17671368562969</v>
      </c>
      <c r="F21">
        <v>-8.0414537361172579E-9</v>
      </c>
      <c r="G21">
        <v>2.4321196631122461E-6</v>
      </c>
      <c r="H21">
        <v>2.432132957030807E-6</v>
      </c>
      <c r="I21">
        <v>90.189439561008498</v>
      </c>
      <c r="L21">
        <f t="shared" si="0"/>
        <v>1.1533227220265254</v>
      </c>
    </row>
    <row r="22" spans="1:12" x14ac:dyDescent="0.15">
      <c r="A22">
        <v>117.2102297533481</v>
      </c>
      <c r="B22">
        <v>1.011535970479233E-6</v>
      </c>
      <c r="C22">
        <v>2.143600404324815E-6</v>
      </c>
      <c r="D22">
        <v>2.3702800916758492E-6</v>
      </c>
      <c r="E22">
        <v>64.73801064344903</v>
      </c>
      <c r="F22">
        <v>-4.9938996972625179E-9</v>
      </c>
      <c r="G22">
        <v>1.916630797431489E-6</v>
      </c>
      <c r="H22">
        <v>1.916637303377207E-6</v>
      </c>
      <c r="I22">
        <v>90.149287347800495</v>
      </c>
      <c r="L22">
        <f t="shared" si="0"/>
        <v>0.84630773070334908</v>
      </c>
    </row>
    <row r="23" spans="1:12" x14ac:dyDescent="0.15">
      <c r="A23">
        <v>148.73521072935119</v>
      </c>
      <c r="B23">
        <v>-1.5973030974897951E-7</v>
      </c>
      <c r="C23">
        <v>1.2450247291097441E-6</v>
      </c>
      <c r="D23">
        <v>1.255229201360172E-6</v>
      </c>
      <c r="E23">
        <v>97.310819240609902</v>
      </c>
      <c r="F23">
        <v>-3.1013042973913662E-9</v>
      </c>
      <c r="G23">
        <v>1.5103976591247911E-6</v>
      </c>
      <c r="H23">
        <v>1.5104008430804039E-6</v>
      </c>
      <c r="I23">
        <v>90.117645440215213</v>
      </c>
      <c r="L23">
        <f t="shared" si="0"/>
        <v>1.0386591659527651</v>
      </c>
    </row>
    <row r="24" spans="1:12" x14ac:dyDescent="0.15">
      <c r="A24">
        <v>188.73918221350979</v>
      </c>
      <c r="B24">
        <v>4.4893195754986548E-8</v>
      </c>
      <c r="C24">
        <v>7.2210660472177145E-7</v>
      </c>
      <c r="D24">
        <v>7.2350075853996184E-7</v>
      </c>
      <c r="E24">
        <v>86.442513631884637</v>
      </c>
      <c r="F24">
        <v>-1.9259655879610818E-9</v>
      </c>
      <c r="G24">
        <v>1.1902651607739081E-6</v>
      </c>
      <c r="H24">
        <v>1.1902667189733491E-6</v>
      </c>
      <c r="I24">
        <v>90.092710101082545</v>
      </c>
      <c r="L24">
        <f t="shared" si="0"/>
        <v>0.98546191098403291</v>
      </c>
    </row>
    <row r="25" spans="1:12" x14ac:dyDescent="0.15">
      <c r="A25">
        <v>239.50266199874861</v>
      </c>
      <c r="B25">
        <v>-9.8941691635954639E-7</v>
      </c>
      <c r="C25">
        <v>1.3633142905121539E-6</v>
      </c>
      <c r="D25">
        <v>1.684509331850996E-6</v>
      </c>
      <c r="E25">
        <v>125.9700364839882</v>
      </c>
      <c r="F25">
        <v>-1.196058446432422E-9</v>
      </c>
      <c r="G25">
        <v>9.379849647575266E-7</v>
      </c>
      <c r="H25">
        <v>9.379857273258403E-7</v>
      </c>
      <c r="I25">
        <v>90.073059874586761</v>
      </c>
      <c r="L25">
        <f t="shared" si="0"/>
        <v>1.1439275919221985</v>
      </c>
    </row>
    <row r="26" spans="1:12" x14ac:dyDescent="0.15">
      <c r="A26">
        <v>303.91953823131979</v>
      </c>
      <c r="B26">
        <v>-3.783353175511016E-7</v>
      </c>
      <c r="C26">
        <v>1.4551225496584811E-6</v>
      </c>
      <c r="D26">
        <v>1.5035023269124301E-6</v>
      </c>
      <c r="E26">
        <v>104.5743436120034</v>
      </c>
      <c r="F26">
        <v>-7.4277301643477858E-10</v>
      </c>
      <c r="G26">
        <v>7.3917601913413348E-7</v>
      </c>
      <c r="H26">
        <v>7.3917639232779812E-7</v>
      </c>
      <c r="I26">
        <v>90.057574574325955</v>
      </c>
      <c r="L26">
        <f t="shared" si="0"/>
        <v>1.0695705315308519</v>
      </c>
    </row>
    <row r="27" spans="1:12" x14ac:dyDescent="0.15">
      <c r="A27">
        <v>385.66204211634721</v>
      </c>
      <c r="B27">
        <v>7.6470490313441194E-8</v>
      </c>
      <c r="C27">
        <v>1.229107467419462E-6</v>
      </c>
      <c r="D27">
        <v>1.2314840244010729E-6</v>
      </c>
      <c r="E27">
        <v>86.439858803522299</v>
      </c>
      <c r="F27">
        <v>-4.612748037064911E-10</v>
      </c>
      <c r="G27">
        <v>5.8250513621525736E-7</v>
      </c>
      <c r="H27">
        <v>5.8250531885262649E-7</v>
      </c>
      <c r="I27">
        <v>90.045371434997946</v>
      </c>
      <c r="L27">
        <f t="shared" si="0"/>
        <v>0.9854477676008021</v>
      </c>
    </row>
    <row r="28" spans="1:12" x14ac:dyDescent="0.15">
      <c r="A28">
        <v>489.39009184774937</v>
      </c>
      <c r="B28">
        <v>-7.9862157813953639E-7</v>
      </c>
      <c r="C28">
        <v>-1.225193553931545E-7</v>
      </c>
      <c r="D28">
        <v>8.0796498532797674E-7</v>
      </c>
      <c r="E28">
        <v>-171.27805371217411</v>
      </c>
      <c r="F28">
        <v>-2.8645953604682282E-10</v>
      </c>
      <c r="G28">
        <v>4.5904111567964339E-7</v>
      </c>
      <c r="H28">
        <v>4.5904120506058879E-7</v>
      </c>
      <c r="I28">
        <v>90.035754793471895</v>
      </c>
      <c r="L28">
        <f t="shared" si="0"/>
        <v>-1.2479789668386603</v>
      </c>
    </row>
    <row r="29" spans="1:12" x14ac:dyDescent="0.15">
      <c r="A29">
        <v>621.0169418915616</v>
      </c>
      <c r="B29">
        <v>2.6040557943246251E-7</v>
      </c>
      <c r="C29">
        <v>1.476873932120932E-7</v>
      </c>
      <c r="D29">
        <v>2.9937039251292028E-7</v>
      </c>
      <c r="E29">
        <v>29.559468233312021</v>
      </c>
      <c r="F29">
        <v>-1.7789625130635889E-10</v>
      </c>
      <c r="G29">
        <v>3.6174569768604351E-7</v>
      </c>
      <c r="H29">
        <v>3.6174574142820059E-7</v>
      </c>
      <c r="I29">
        <v>90.028176433429849</v>
      </c>
      <c r="L29">
        <f t="shared" si="0"/>
        <v>0.47629448212078218</v>
      </c>
    </row>
    <row r="30" spans="1:12" x14ac:dyDescent="0.15">
      <c r="A30">
        <v>788.04628156699118</v>
      </c>
      <c r="B30">
        <v>-4.1671621251899859E-7</v>
      </c>
      <c r="C30">
        <v>5.1516249895487281E-7</v>
      </c>
      <c r="D30">
        <v>6.6260455937580791E-7</v>
      </c>
      <c r="E30">
        <v>128.9694807664595</v>
      </c>
      <c r="F30">
        <v>-1.104765960857427E-10</v>
      </c>
      <c r="G30">
        <v>2.8507237806207311E-7</v>
      </c>
      <c r="H30">
        <v>2.8507239946905378E-7</v>
      </c>
      <c r="I30">
        <v>90.022204334270583</v>
      </c>
      <c r="L30">
        <f t="shared" si="0"/>
        <v>1.1527273365454953</v>
      </c>
    </row>
    <row r="31" spans="1:12" x14ac:dyDescent="0.15">
      <c r="A31">
        <v>1000</v>
      </c>
      <c r="B31">
        <v>-2.023888679976277E-7</v>
      </c>
      <c r="C31">
        <v>9.0154708164289236E-7</v>
      </c>
      <c r="D31">
        <v>9.2398506173432101E-7</v>
      </c>
      <c r="E31">
        <v>102.65260173479329</v>
      </c>
      <c r="F31">
        <v>-6.8607841756759441E-11</v>
      </c>
      <c r="G31">
        <v>2.2465024029593019E-7</v>
      </c>
      <c r="H31">
        <v>2.246502507722952E-7</v>
      </c>
      <c r="I31">
        <v>90.017498043388585</v>
      </c>
      <c r="L31">
        <f t="shared" si="0"/>
        <v>1.0617157517475364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3.5" x14ac:dyDescent="0.15"/>
  <sheetData>
    <row r="1" spans="1:6" x14ac:dyDescent="0.1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15">
      <c r="A2" t="s">
        <v>15</v>
      </c>
      <c r="B2">
        <v>68.72620173284713</v>
      </c>
      <c r="C2">
        <v>133.3858087097183</v>
      </c>
      <c r="D2">
        <v>2.40206867566911E-5</v>
      </c>
      <c r="E2">
        <v>0.26995713398174631</v>
      </c>
      <c r="F2">
        <v>6.2758970536191406E-7</v>
      </c>
    </row>
    <row r="3" spans="1:6" x14ac:dyDescent="0.15">
      <c r="A3" t="s">
        <v>16</v>
      </c>
      <c r="B3">
        <v>0.1</v>
      </c>
      <c r="C3">
        <v>50</v>
      </c>
      <c r="D3">
        <v>9.3240093240093249E-8</v>
      </c>
      <c r="E3">
        <v>69.546860452100645</v>
      </c>
      <c r="F3">
        <v>0.45071009808370599</v>
      </c>
    </row>
    <row r="4" spans="1:6" x14ac:dyDescent="0.15">
      <c r="A4" t="s">
        <v>17</v>
      </c>
      <c r="B4">
        <v>71.077240983974917</v>
      </c>
      <c r="C4">
        <v>133.15157320922339</v>
      </c>
      <c r="D4">
        <v>2.4886106926355599E-5</v>
      </c>
      <c r="E4">
        <v>0.26056931171673781</v>
      </c>
      <c r="F4">
        <v>6.2719771505315839E-7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3.5" x14ac:dyDescent="0.15"/>
  <sheetData>
    <row r="1" spans="1:2" x14ac:dyDescent="0.15">
      <c r="A1" s="1" t="s">
        <v>18</v>
      </c>
      <c r="B1" s="1" t="s">
        <v>19</v>
      </c>
    </row>
    <row r="2" spans="1:2" x14ac:dyDescent="0.15">
      <c r="A2" t="s">
        <v>20</v>
      </c>
      <c r="B2" t="s">
        <v>21</v>
      </c>
    </row>
    <row r="3" spans="1:2" x14ac:dyDescent="0.15">
      <c r="A3" t="s">
        <v>22</v>
      </c>
      <c r="B3" t="s">
        <v>23</v>
      </c>
    </row>
    <row r="4" spans="1:2" x14ac:dyDescent="0.15">
      <c r="A4" t="s">
        <v>24</v>
      </c>
      <c r="B4">
        <v>0.02</v>
      </c>
    </row>
    <row r="5" spans="1:2" x14ac:dyDescent="0.15">
      <c r="A5" t="s">
        <v>25</v>
      </c>
      <c r="B5" t="s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Fit_Results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2025-11-14T05:15:11Z</dcterms:created>
  <dcterms:modified xsi:type="dcterms:W3CDTF">2025-11-14T08:35:55Z</dcterms:modified>
</cp:coreProperties>
</file>